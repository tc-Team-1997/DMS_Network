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cosmicintelligence/Documents/DMS_Network/"/>
    </mc:Choice>
  </mc:AlternateContent>
  <xr:revisionPtr revIDLastSave="0" documentId="13_ncr:1_{C11B55B2-A967-7A48-9EC1-2C65AEA686B6}" xr6:coauthVersionLast="47" xr6:coauthVersionMax="47" xr10:uidLastSave="{00000000-0000-0000-0000-000000000000}"/>
  <bookViews>
    <workbookView xWindow="4360" yWindow="660" windowWidth="25840" windowHeight="20420" xr2:uid="{00000000-000D-0000-FFFF-FFFF00000000}"/>
  </bookViews>
  <sheets>
    <sheet name="DMS Features" sheetId="1" r:id="rId1"/>
    <sheet name="Category Summary" sheetId="2" r:id="rId2"/>
  </sheets>
  <definedNames>
    <definedName name="_xlnm._FilterDatabase" localSheetId="0" hidden="1">'DMS Features'!$A$4:$E$68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2" l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</calcChain>
</file>

<file path=xl/sharedStrings.xml><?xml version="1.0" encoding="utf-8"?>
<sst xmlns="http://schemas.openxmlformats.org/spreadsheetml/2006/main" count="295" uniqueCount="171">
  <si>
    <t>Bhutan Banking DMS — Platform Feature Specification</t>
  </si>
  <si>
    <t>63 Features  |  14 Categories  |  AWS Singapore Region  |  May 2026  |  CONFIDENTIAL</t>
  </si>
  <si>
    <t>#</t>
  </si>
  <si>
    <t>Category</t>
  </si>
  <si>
    <t>Feature</t>
  </si>
  <si>
    <t>Description</t>
  </si>
  <si>
    <t>Type</t>
  </si>
  <si>
    <t>Document Ingestion</t>
  </si>
  <si>
    <t>Multi-format Upload</t>
  </si>
  <si>
    <t>PDF, DOCX, XLSX, JPEG, PNG, TIFF via web portal, mobile app, or API</t>
  </si>
  <si>
    <t>Core</t>
  </si>
  <si>
    <t>Bulk Import</t>
  </si>
  <si>
    <t>Batch document ingestion with ZIP upload and auto-classification</t>
  </si>
  <si>
    <t>Mobile Capture</t>
  </si>
  <si>
    <t>Branch officers capture documents via Expo mobile app with camera scan/Scanner</t>
  </si>
  <si>
    <t>Drag &amp; Drop Interface</t>
  </si>
  <si>
    <t>Browser-based drag-and-drop with real-time upload progress</t>
  </si>
  <si>
    <t>AI &amp; OCR</t>
  </si>
  <si>
    <t>Automated OCR</t>
  </si>
  <si>
    <t>Amazon Textract extracts text, tables, and key-value pairs from scanned documents</t>
  </si>
  <si>
    <t>AI</t>
  </si>
  <si>
    <t>Auto-Classification</t>
  </si>
  <si>
    <t>ML model auto-classifies documents by type (KYC, loan, contract, etc.)</t>
  </si>
  <si>
    <t>Data Extraction</t>
  </si>
  <si>
    <t>Structured field extraction (customer name, CID, account number, dates)</t>
  </si>
  <si>
    <t>KYC Face Verification</t>
  </si>
  <si>
    <t>Amazon Rekognition matches customer photo ID against live capture</t>
  </si>
  <si>
    <t>Duplicate Detection</t>
  </si>
  <si>
    <t>SHA-256 + perceptual hash (pHash) + fuzzy matching prevents duplicate uploads</t>
  </si>
  <si>
    <t>GenAI / DocBrain</t>
  </si>
  <si>
    <t>RAG-based Q&amp;A</t>
  </si>
  <si>
    <t>Ask questions about any document using Amazon Bedrock and Kendra semantic index</t>
  </si>
  <si>
    <t>Document Summarisation</t>
  </si>
  <si>
    <t>AI-generated summaries of lengthy contracts and compliance documents</t>
  </si>
  <si>
    <t>NLP Entity Recognition</t>
  </si>
  <si>
    <t>Amazon Comprehend extracts entities (dates, amounts, names, locations)</t>
  </si>
  <si>
    <t>Dzongkha Translation</t>
  </si>
  <si>
    <t>Amazon Translate supports Bhutan's national language for document content</t>
  </si>
  <si>
    <t>Fraud Pattern Detection</t>
  </si>
  <si>
    <t>Amazon Fraud Detector flags suspicious document patterns and ring networks</t>
  </si>
  <si>
    <t>Search &amp; Discovery</t>
  </si>
  <si>
    <t>Full-Text Search</t>
  </si>
  <si>
    <t>FTS5 virtual table indexed on document name, customer CID, OCR text, and notes</t>
  </si>
  <si>
    <t>Semantic Search</t>
  </si>
  <si>
    <t>Amazon Kendra enables natural-language document queries across all content</t>
  </si>
  <si>
    <t>Saved Searches</t>
  </si>
  <si>
    <t>Users save and reuse frequent search queries with custom filters</t>
  </si>
  <si>
    <t>Advanced Filters</t>
  </si>
  <si>
    <t>Filter by document type, date range, branch, status, customer ID, risk band</t>
  </si>
  <si>
    <t>Workflow &amp; Approval</t>
  </si>
  <si>
    <t>Maker-Checker</t>
  </si>
  <si>
    <t>Four-eye principle: Maker submits, Checker approves or rejects with escalation</t>
  </si>
  <si>
    <t>Multi-step Workflows</t>
  </si>
  <si>
    <t>Configurable BPMN-based approval chains with branching and parallel steps</t>
  </si>
  <si>
    <t>Escalation Rules</t>
  </si>
  <si>
    <t>Auto-escalate overdue tasks; time-based SLA enforcement</t>
  </si>
  <si>
    <t>Workflow History</t>
  </si>
  <si>
    <t>Full audit trail of every approval action with timestamps and comments</t>
  </si>
  <si>
    <t>Email &amp; Push Alerts</t>
  </si>
  <si>
    <t>Notifications via Amazon SNS/SES on task assignment, approval, or rejection</t>
  </si>
  <si>
    <t>Security &amp; Access</t>
  </si>
  <si>
    <t>Role-Based Access Control</t>
  </si>
  <si>
    <t>Roles: Doc Admin, Maker, Checker, Viewer, Auditor with granular permissions</t>
  </si>
  <si>
    <t>Security</t>
  </si>
  <si>
    <t>Attribute-Based Access</t>
  </si>
  <si>
    <t>OPA policy engine enforces tenant, branch, risk-band, and after-hours rules</t>
  </si>
  <si>
    <t>Multi-factor Auth</t>
  </si>
  <si>
    <t>Amazon Cognito MFA with TOTP or SMS for all portal users</t>
  </si>
  <si>
    <t>SAML / SSO</t>
  </si>
  <si>
    <t>Enterprise SSO integration for bank staff via existing identity providers</t>
  </si>
  <si>
    <t>JWT + API Key Auth</t>
  </si>
  <si>
    <t>Separate auth schemes for mobile (JWT) and API integrations (API key)</t>
  </si>
  <si>
    <t>Folder-level Permissions</t>
  </si>
  <si>
    <t>Granular read/write/delete permissions per folder per user or role</t>
  </si>
  <si>
    <t>Compliance &amp; Retention</t>
  </si>
  <si>
    <t>Retention Policies</t>
  </si>
  <si>
    <t>Configurable document retention schedules by document type and regulation</t>
  </si>
  <si>
    <t>Compliance</t>
  </si>
  <si>
    <t>WORM Storage</t>
  </si>
  <si>
    <t>S3 Object Lock ensures documents cannot be modified or deleted before expiry</t>
  </si>
  <si>
    <t>RMA Regulatory Reporting</t>
  </si>
  <si>
    <t>Automated compliance reports formatted for Royal Monetary Authority (RMA)</t>
  </si>
  <si>
    <t>Audit Manager Integration</t>
  </si>
  <si>
    <t>AWS Audit Manager maps controls to RMA and banking regulations automatically</t>
  </si>
  <si>
    <t>AWS Artifact</t>
  </si>
  <si>
    <t>On-demand access to AWS compliance reports for auditor review</t>
  </si>
  <si>
    <t>Encryption &amp; Data Protection</t>
  </si>
  <si>
    <t>Encryption at Rest</t>
  </si>
  <si>
    <t>AES-256 via AWS KMS; all documents, metadata, and audit logs encrypted</t>
  </si>
  <si>
    <t>Encryption in Transit</t>
  </si>
  <si>
    <t>TLS 1.3 enforced across all API and portal connections</t>
  </si>
  <si>
    <t>FIPS 140-2 HSM</t>
  </si>
  <si>
    <t>AWS CloudHSM for cryptographic key management in regulated workflows</t>
  </si>
  <si>
    <t>PII Detection</t>
  </si>
  <si>
    <t>Amazon Macie automatically detects and alerts on sensitive PII in documents</t>
  </si>
  <si>
    <t>Audit &amp; Monitoring</t>
  </si>
  <si>
    <t>Immutable Audit Log</t>
  </si>
  <si>
    <t>Every action (view, upload, download, approve, delete) logged to DynamoDB</t>
  </si>
  <si>
    <t>CloudTrail API Logging</t>
  </si>
  <si>
    <t>Every AWS API call recorded for forensic investigation and compliance</t>
  </si>
  <si>
    <t>Real-time Dashboards</t>
  </si>
  <si>
    <t>CloudWatch dashboards with SLA metrics, upload volumes, and error rates</t>
  </si>
  <si>
    <t>Security Hub (CSPM)</t>
  </si>
  <si>
    <t>Continuous cloud security posture monitoring with automated findings</t>
  </si>
  <si>
    <t>GuardDuty Threat Intel</t>
  </si>
  <si>
    <t>AI-powered threat detection for account compromise and unusual access patterns</t>
  </si>
  <si>
    <t>Annotations &amp; Collaboration</t>
  </si>
  <si>
    <t>Document Annotations</t>
  </si>
  <si>
    <t>Users add inline comments, highlights, and sticky notes on documents</t>
  </si>
  <si>
    <t>Digital Signatures</t>
  </si>
  <si>
    <t>Signature capture and attachment for approvals and attestations</t>
  </si>
  <si>
    <t>Version Control</t>
  </si>
  <si>
    <t>Full document version history with diff tracking and rollback capability</t>
  </si>
  <si>
    <t>Banking Integrations</t>
  </si>
  <si>
    <t>TCS BaNCS API</t>
  </si>
  <si>
    <t>Real-time sync with Bank of Bhutan core banking system</t>
  </si>
  <si>
    <t>Integration</t>
  </si>
  <si>
    <t>Oracle Flexcube</t>
  </si>
  <si>
    <t>Document linkage with BNBL core banking loan and account records</t>
  </si>
  <si>
    <t>Bhutan Financial Switch</t>
  </si>
  <si>
    <t>Payment document routing through the national ATM/POS network</t>
  </si>
  <si>
    <t>SWIFT / FIN Messages</t>
  </si>
  <si>
    <t>Cross-border payment document exchange via SWIFT network</t>
  </si>
  <si>
    <t>GraphQL API</t>
  </si>
  <si>
    <t>Flexible query interface for document, workflow, alert, and stats data</t>
  </si>
  <si>
    <t>Webhook Events</t>
  </si>
  <si>
    <t>Real-time event push to external systems on document state changes</t>
  </si>
  <si>
    <t>Analytics</t>
  </si>
  <si>
    <t>Customer Graph Analytics</t>
  </si>
  <si>
    <t>DFS-based fraud ring detection across shared documents and accounts</t>
  </si>
  <si>
    <t>Document Metrics</t>
  </si>
  <si>
    <t>Upload trends, processing times, OCR accuracy rates by branch</t>
  </si>
  <si>
    <t>Compliance Dashboards</t>
  </si>
  <si>
    <t>RMA-ready reports on document completeness, expiry, and SLA adherence</t>
  </si>
  <si>
    <t>Custom Dashboards</t>
  </si>
  <si>
    <t>Users configure personal dashboards with preferred widgets and KPIs</t>
  </si>
  <si>
    <t>Data Sovereignty &amp; DR</t>
  </si>
  <si>
    <t>On-Premises Archive</t>
  </si>
  <si>
    <t>Sensitive documents replicated to Thimphu Data Center via Direct Connect</t>
  </si>
  <si>
    <t>Disaster Recovery</t>
  </si>
  <si>
    <t>Hot standby at Paro Data Center; RTO &lt; 4 hrs, RPO &lt; 1 hr</t>
  </si>
  <si>
    <t>Hybrid Connectivity</t>
  </si>
  <si>
    <t>AWS Direct Connect (2 Gbps dedicated) for low-latency on-prem integration</t>
  </si>
  <si>
    <t>Scalability &amp; Performance</t>
  </si>
  <si>
    <t>Auto-scaling</t>
  </si>
  <si>
    <t>Fargate tasks scale automatically on CPU and memory thresholds</t>
  </si>
  <si>
    <t>CDN Acceleration</t>
  </si>
  <si>
    <t>CloudFront delivers portal assets with edge caching globally</t>
  </si>
  <si>
    <t>Redis Caching</t>
  </si>
  <si>
    <t>ElastiCache Redis caches frequently accessed documents and search results</t>
  </si>
  <si>
    <t>Load Testing</t>
  </si>
  <si>
    <t>k6 load test suite validated to 50 concurrent users over 2-minute bursts</t>
  </si>
  <si>
    <t>Feature Count</t>
  </si>
  <si>
    <t>Type Mix</t>
  </si>
  <si>
    <t>4x Core</t>
  </si>
  <si>
    <t>5x AI</t>
  </si>
  <si>
    <t>3x Core, 1x AI</t>
  </si>
  <si>
    <t>5x Core</t>
  </si>
  <si>
    <t>6x Security</t>
  </si>
  <si>
    <t>5x Compliance</t>
  </si>
  <si>
    <t>4x Security</t>
  </si>
  <si>
    <t>2x Compliance, 1x Core, 2x Security</t>
  </si>
  <si>
    <t>3x Core</t>
  </si>
  <si>
    <t>6x Integration</t>
  </si>
  <si>
    <t>1x AI, 2x Core, 1x Compliance</t>
  </si>
  <si>
    <t>1x Compliance, 2x Core</t>
  </si>
  <si>
    <t>TOTAL</t>
  </si>
  <si>
    <t>63 features across 14 categories</t>
  </si>
  <si>
    <t xml:space="preserve">Document Integestion </t>
  </si>
  <si>
    <t>API Integration</t>
  </si>
  <si>
    <t>Banking API intergations like CBS/LOS/AML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</si>
</sst>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8"/>
      <color rgb="FF1B3A6B"/>
      <name val="Arial"/>
      <family val="2"/>
    </font>
    <font>
      <sz val="11"/>
      <name val="Calibri"/>
      <family val="2"/>
    </font>
    <font>
      <i/>
      <sz val="10"/>
      <color rgb="FF666666"/>
      <name val="Arial"/>
      <family val="2"/>
    </font>
    <font>
      <b/>
      <sz val="11"/>
      <color rgb="FFFFFFFF"/>
      <name val="Arial"/>
      <family val="2"/>
    </font>
    <font>
      <b/>
      <sz val="10"/>
      <color rgb="FF1B3A6B"/>
      <name val="Arial"/>
      <family val="2"/>
    </font>
    <font>
      <b/>
      <sz val="10"/>
      <color rgb="FF222222"/>
      <name val="Arial"/>
      <family val="2"/>
    </font>
    <font>
      <sz val="10"/>
      <color rgb="FF222222"/>
      <name val="Arial"/>
      <family val="2"/>
    </font>
    <font>
      <b/>
      <sz val="9"/>
      <color rgb="FFFFFFFF"/>
      <name val="Arial"/>
      <family val="2"/>
    </font>
    <font>
      <sz val="10"/>
      <color rgb="FF444444"/>
      <name val="Arial"/>
      <family val="2"/>
    </font>
    <font>
      <i/>
      <sz val="10"/>
      <color rgb="FFFFFFFF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EBF3FB"/>
        <bgColor rgb="FFEBF3FB"/>
      </patternFill>
    </fill>
    <fill>
      <patternFill patternType="solid">
        <fgColor rgb="FF1B3A6B"/>
        <bgColor rgb="FF1B3A6B"/>
      </patternFill>
    </fill>
    <fill>
      <patternFill patternType="solid">
        <fgColor rgb="FFFFFFFF"/>
        <bgColor rgb="FFFFFFFF"/>
      </patternFill>
    </fill>
    <fill>
      <patternFill patternType="solid">
        <fgColor rgb="FFD5E8F0"/>
        <bgColor rgb="FFD5E8F0"/>
      </patternFill>
    </fill>
    <fill>
      <patternFill patternType="solid">
        <fgColor rgb="FF1976D2"/>
        <bgColor rgb="FF1976D2"/>
      </patternFill>
    </fill>
    <fill>
      <patternFill patternType="solid">
        <fgColor rgb="FFF5F7FA"/>
        <bgColor rgb="FFF5F7FA"/>
      </patternFill>
    </fill>
    <fill>
      <patternFill patternType="solid">
        <fgColor rgb="FFD5F0DC"/>
        <bgColor rgb="FFD5F0DC"/>
      </patternFill>
    </fill>
    <fill>
      <patternFill patternType="solid">
        <fgColor rgb="FF7B1FA2"/>
        <bgColor rgb="FF7B1FA2"/>
      </patternFill>
    </fill>
    <fill>
      <patternFill patternType="solid">
        <fgColor rgb="FFEBD5F0"/>
        <bgColor rgb="FFEBD5F0"/>
      </patternFill>
    </fill>
    <fill>
      <patternFill patternType="solid">
        <fgColor rgb="FFF0ECD5"/>
        <bgColor rgb="FFF0ECD5"/>
      </patternFill>
    </fill>
    <fill>
      <patternFill patternType="solid">
        <fgColor rgb="FFF0D5E4"/>
        <bgColor rgb="FFF0D5E4"/>
      </patternFill>
    </fill>
    <fill>
      <patternFill patternType="solid">
        <fgColor rgb="FFF0D5D5"/>
        <bgColor rgb="FFF0D5D5"/>
      </patternFill>
    </fill>
    <fill>
      <patternFill patternType="solid">
        <fgColor rgb="FFC62828"/>
        <bgColor rgb="FFC62828"/>
      </patternFill>
    </fill>
    <fill>
      <patternFill patternType="solid">
        <fgColor rgb="FFD5E4F0"/>
        <bgColor rgb="FFD5E4F0"/>
      </patternFill>
    </fill>
    <fill>
      <patternFill patternType="solid">
        <fgColor rgb="FF2E7D32"/>
        <bgColor rgb="FF2E7D32"/>
      </patternFill>
    </fill>
    <fill>
      <patternFill patternType="solid">
        <fgColor rgb="FFF0E4D5"/>
        <bgColor rgb="FFF0E4D5"/>
      </patternFill>
    </fill>
    <fill>
      <patternFill patternType="solid">
        <fgColor rgb="FFE8E8E8"/>
        <bgColor rgb="FFE8E8E8"/>
      </patternFill>
    </fill>
    <fill>
      <patternFill patternType="solid">
        <fgColor rgb="FFD5D8F0"/>
        <bgColor rgb="FFD5D8F0"/>
      </patternFill>
    </fill>
    <fill>
      <patternFill patternType="solid">
        <fgColor rgb="FFF0DAD5"/>
        <bgColor rgb="FFF0DAD5"/>
      </patternFill>
    </fill>
    <fill>
      <patternFill patternType="solid">
        <fgColor rgb="FFE65100"/>
        <bgColor rgb="FFE65100"/>
      </patternFill>
    </fill>
    <fill>
      <patternFill patternType="solid">
        <fgColor rgb="FFD5F0EE"/>
        <bgColor rgb="FFD5F0EE"/>
      </patternFill>
    </fill>
    <fill>
      <patternFill patternType="solid">
        <fgColor rgb="FFEDE8E3"/>
        <bgColor rgb="FFEDE8E3"/>
      </patternFill>
    </fill>
    <fill>
      <patternFill patternType="solid">
        <fgColor rgb="FFE3EDD8"/>
        <bgColor rgb="FFE3EDD8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left" vertical="center"/>
    </xf>
    <xf numFmtId="0" fontId="6" fillId="4" borderId="5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>
      <alignment horizontal="left" vertical="center"/>
    </xf>
    <xf numFmtId="0" fontId="7" fillId="7" borderId="5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left" vertical="center"/>
    </xf>
    <xf numFmtId="0" fontId="5" fillId="12" borderId="5" xfId="0" applyFont="1" applyFill="1" applyBorder="1" applyAlignment="1">
      <alignment horizontal="left" vertical="center"/>
    </xf>
    <xf numFmtId="0" fontId="5" fillId="13" borderId="5" xfId="0" applyFont="1" applyFill="1" applyBorder="1" applyAlignment="1">
      <alignment horizontal="left" vertical="center"/>
    </xf>
    <xf numFmtId="0" fontId="8" fillId="14" borderId="5" xfId="0" applyFont="1" applyFill="1" applyBorder="1" applyAlignment="1">
      <alignment horizontal="center" vertical="center"/>
    </xf>
    <xf numFmtId="0" fontId="5" fillId="15" borderId="5" xfId="0" applyFont="1" applyFill="1" applyBorder="1" applyAlignment="1">
      <alignment horizontal="left" vertical="center"/>
    </xf>
    <xf numFmtId="0" fontId="8" fillId="16" borderId="5" xfId="0" applyFont="1" applyFill="1" applyBorder="1" applyAlignment="1">
      <alignment horizontal="center" vertical="center"/>
    </xf>
    <xf numFmtId="0" fontId="5" fillId="17" borderId="5" xfId="0" applyFont="1" applyFill="1" applyBorder="1" applyAlignment="1">
      <alignment horizontal="left" vertical="center"/>
    </xf>
    <xf numFmtId="0" fontId="5" fillId="18" borderId="5" xfId="0" applyFont="1" applyFill="1" applyBorder="1" applyAlignment="1">
      <alignment horizontal="left" vertical="center"/>
    </xf>
    <xf numFmtId="0" fontId="5" fillId="19" borderId="5" xfId="0" applyFont="1" applyFill="1" applyBorder="1" applyAlignment="1">
      <alignment horizontal="left" vertical="center"/>
    </xf>
    <xf numFmtId="0" fontId="5" fillId="20" borderId="5" xfId="0" applyFont="1" applyFill="1" applyBorder="1" applyAlignment="1">
      <alignment horizontal="left" vertical="center"/>
    </xf>
    <xf numFmtId="0" fontId="8" fillId="21" borderId="5" xfId="0" applyFont="1" applyFill="1" applyBorder="1" applyAlignment="1">
      <alignment horizontal="center" vertical="center"/>
    </xf>
    <xf numFmtId="0" fontId="5" fillId="22" borderId="5" xfId="0" applyFont="1" applyFill="1" applyBorder="1" applyAlignment="1">
      <alignment horizontal="left" vertical="center"/>
    </xf>
    <xf numFmtId="0" fontId="5" fillId="23" borderId="5" xfId="0" applyFont="1" applyFill="1" applyBorder="1" applyAlignment="1">
      <alignment horizontal="left" vertical="center"/>
    </xf>
    <xf numFmtId="0" fontId="5" fillId="24" borderId="5" xfId="0" applyFont="1" applyFill="1" applyBorder="1" applyAlignment="1">
      <alignment horizontal="left" vertical="center"/>
    </xf>
    <xf numFmtId="0" fontId="5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5" fillId="8" borderId="5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left" vertical="center"/>
    </xf>
    <xf numFmtId="0" fontId="5" fillId="10" borderId="5" xfId="0" applyFont="1" applyFill="1" applyBorder="1" applyAlignment="1">
      <alignment horizontal="center" vertical="center"/>
    </xf>
    <xf numFmtId="0" fontId="9" fillId="10" borderId="5" xfId="0" applyFont="1" applyFill="1" applyBorder="1" applyAlignment="1">
      <alignment horizontal="left" vertical="center"/>
    </xf>
    <xf numFmtId="0" fontId="5" fillId="11" borderId="5" xfId="0" applyFont="1" applyFill="1" applyBorder="1" applyAlignment="1">
      <alignment horizontal="center" vertical="center"/>
    </xf>
    <xf numFmtId="0" fontId="9" fillId="11" borderId="5" xfId="0" applyFont="1" applyFill="1" applyBorder="1" applyAlignment="1">
      <alignment horizontal="left" vertical="center"/>
    </xf>
    <xf numFmtId="0" fontId="5" fillId="12" borderId="5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left" vertical="center"/>
    </xf>
    <xf numFmtId="0" fontId="5" fillId="13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left" vertical="center"/>
    </xf>
    <xf numFmtId="0" fontId="5" fillId="15" borderId="5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left" vertical="center"/>
    </xf>
    <xf numFmtId="0" fontId="5" fillId="17" borderId="5" xfId="0" applyFont="1" applyFill="1" applyBorder="1" applyAlignment="1">
      <alignment horizontal="center" vertical="center"/>
    </xf>
    <xf numFmtId="0" fontId="9" fillId="17" borderId="5" xfId="0" applyFont="1" applyFill="1" applyBorder="1" applyAlignment="1">
      <alignment horizontal="left" vertical="center"/>
    </xf>
    <xf numFmtId="0" fontId="5" fillId="18" borderId="5" xfId="0" applyFont="1" applyFill="1" applyBorder="1" applyAlignment="1">
      <alignment horizontal="center" vertical="center"/>
    </xf>
    <xf numFmtId="0" fontId="9" fillId="18" borderId="5" xfId="0" applyFont="1" applyFill="1" applyBorder="1" applyAlignment="1">
      <alignment horizontal="left" vertical="center"/>
    </xf>
    <xf numFmtId="0" fontId="5" fillId="19" borderId="5" xfId="0" applyFont="1" applyFill="1" applyBorder="1" applyAlignment="1">
      <alignment horizontal="center" vertical="center"/>
    </xf>
    <xf numFmtId="0" fontId="9" fillId="19" borderId="5" xfId="0" applyFont="1" applyFill="1" applyBorder="1" applyAlignment="1">
      <alignment horizontal="left" vertical="center"/>
    </xf>
    <xf numFmtId="0" fontId="5" fillId="20" borderId="5" xfId="0" applyFont="1" applyFill="1" applyBorder="1" applyAlignment="1">
      <alignment horizontal="center" vertical="center"/>
    </xf>
    <xf numFmtId="0" fontId="9" fillId="20" borderId="5" xfId="0" applyFont="1" applyFill="1" applyBorder="1" applyAlignment="1">
      <alignment horizontal="left" vertical="center"/>
    </xf>
    <xf numFmtId="0" fontId="5" fillId="22" borderId="5" xfId="0" applyFont="1" applyFill="1" applyBorder="1" applyAlignment="1">
      <alignment horizontal="center" vertical="center"/>
    </xf>
    <xf numFmtId="0" fontId="9" fillId="22" borderId="5" xfId="0" applyFont="1" applyFill="1" applyBorder="1" applyAlignment="1">
      <alignment horizontal="left" vertical="center"/>
    </xf>
    <xf numFmtId="0" fontId="5" fillId="23" borderId="5" xfId="0" applyFont="1" applyFill="1" applyBorder="1" applyAlignment="1">
      <alignment horizontal="center" vertical="center"/>
    </xf>
    <xf numFmtId="0" fontId="9" fillId="23" borderId="5" xfId="0" applyFont="1" applyFill="1" applyBorder="1" applyAlignment="1">
      <alignment horizontal="left" vertical="center"/>
    </xf>
    <xf numFmtId="0" fontId="5" fillId="24" borderId="5" xfId="0" applyFont="1" applyFill="1" applyBorder="1" applyAlignment="1">
      <alignment horizontal="center" vertical="center"/>
    </xf>
    <xf numFmtId="0" fontId="9" fillId="24" borderId="5" xfId="0" applyFont="1" applyFill="1" applyBorder="1" applyAlignment="1">
      <alignment horizontal="left" vertical="center"/>
    </xf>
    <xf numFmtId="0" fontId="4" fillId="3" borderId="4" xfId="0" applyFont="1" applyFill="1" applyBorder="1"/>
    <xf numFmtId="0" fontId="10" fillId="3" borderId="4" xfId="0" applyFont="1" applyFill="1" applyBorder="1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tabSelected="1" workbookViewId="0">
      <pane ySplit="4" topLeftCell="A5" activePane="bottomLeft" state="frozen"/>
      <selection pane="bottomLeft" activeCell="D9" sqref="D9"/>
    </sheetView>
  </sheetViews>
  <sheetFormatPr baseColWidth="10" defaultColWidth="14.5" defaultRowHeight="15" customHeight="1" x14ac:dyDescent="0.2"/>
  <cols>
    <col min="1" max="1" width="5" customWidth="1"/>
    <col min="2" max="2" width="26" customWidth="1"/>
    <col min="3" max="3" width="30" customWidth="1"/>
    <col min="4" max="4" width="72" customWidth="1"/>
    <col min="5" max="5" width="14" customWidth="1"/>
    <col min="6" max="26" width="8.6640625" customWidth="1"/>
  </cols>
  <sheetData>
    <row r="1" spans="1:5" ht="30" customHeight="1" x14ac:dyDescent="0.2">
      <c r="A1" s="58" t="s">
        <v>0</v>
      </c>
      <c r="B1" s="59"/>
      <c r="C1" s="59"/>
      <c r="D1" s="59"/>
      <c r="E1" s="60"/>
    </row>
    <row r="2" spans="1:5" ht="18" customHeight="1" x14ac:dyDescent="0.2">
      <c r="A2" s="61" t="s">
        <v>1</v>
      </c>
      <c r="B2" s="62"/>
      <c r="C2" s="62"/>
      <c r="D2" s="62"/>
      <c r="E2" s="62"/>
    </row>
    <row r="3" spans="1:5" ht="6" customHeight="1" x14ac:dyDescent="0.2"/>
    <row r="4" spans="1:5" ht="21.75" customHeight="1" x14ac:dyDescent="0.2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 ht="30" customHeight="1" x14ac:dyDescent="0.2">
      <c r="A5" s="3">
        <v>1</v>
      </c>
      <c r="B5" s="4" t="s">
        <v>7</v>
      </c>
      <c r="C5" s="5" t="s">
        <v>8</v>
      </c>
      <c r="D5" s="6" t="s">
        <v>9</v>
      </c>
      <c r="E5" s="7" t="s">
        <v>10</v>
      </c>
    </row>
    <row r="6" spans="1:5" ht="30" customHeight="1" x14ac:dyDescent="0.2">
      <c r="A6" s="8">
        <f t="shared" ref="A6:A68" si="0">A5+1</f>
        <v>2</v>
      </c>
      <c r="B6" s="4" t="s">
        <v>7</v>
      </c>
      <c r="C6" s="9" t="s">
        <v>11</v>
      </c>
      <c r="D6" s="10" t="s">
        <v>12</v>
      </c>
      <c r="E6" s="7" t="s">
        <v>10</v>
      </c>
    </row>
    <row r="7" spans="1:5" ht="30" customHeight="1" x14ac:dyDescent="0.2">
      <c r="A7" s="8">
        <f t="shared" si="0"/>
        <v>3</v>
      </c>
      <c r="B7" s="4" t="s">
        <v>7</v>
      </c>
      <c r="C7" s="5" t="s">
        <v>13</v>
      </c>
      <c r="D7" s="6" t="s">
        <v>14</v>
      </c>
      <c r="E7" s="7" t="s">
        <v>10</v>
      </c>
    </row>
    <row r="8" spans="1:5" ht="30" customHeight="1" x14ac:dyDescent="0.2">
      <c r="A8" s="8">
        <f t="shared" si="0"/>
        <v>4</v>
      </c>
      <c r="B8" s="4" t="s">
        <v>7</v>
      </c>
      <c r="C8" s="9" t="s">
        <v>15</v>
      </c>
      <c r="D8" s="10" t="s">
        <v>16</v>
      </c>
      <c r="E8" s="7" t="s">
        <v>10</v>
      </c>
    </row>
    <row r="9" spans="1:5" ht="30" customHeight="1" x14ac:dyDescent="0.2">
      <c r="A9" s="8">
        <f t="shared" si="0"/>
        <v>5</v>
      </c>
      <c r="B9" s="11" t="s">
        <v>168</v>
      </c>
      <c r="C9" s="5" t="s">
        <v>169</v>
      </c>
      <c r="D9" s="6" t="s">
        <v>170</v>
      </c>
      <c r="E9" s="12"/>
    </row>
    <row r="10" spans="1:5" ht="30" customHeight="1" x14ac:dyDescent="0.2">
      <c r="A10" s="8">
        <f t="shared" si="0"/>
        <v>6</v>
      </c>
      <c r="B10" s="11" t="s">
        <v>17</v>
      </c>
      <c r="C10" s="5" t="s">
        <v>18</v>
      </c>
      <c r="D10" s="6" t="s">
        <v>19</v>
      </c>
      <c r="E10" s="12" t="s">
        <v>20</v>
      </c>
    </row>
    <row r="11" spans="1:5" ht="30" customHeight="1" x14ac:dyDescent="0.2">
      <c r="A11" s="8">
        <f t="shared" si="0"/>
        <v>7</v>
      </c>
      <c r="B11" s="11" t="s">
        <v>17</v>
      </c>
      <c r="C11" s="9" t="s">
        <v>21</v>
      </c>
      <c r="D11" s="10" t="s">
        <v>22</v>
      </c>
      <c r="E11" s="12" t="s">
        <v>20</v>
      </c>
    </row>
    <row r="12" spans="1:5" ht="30" customHeight="1" x14ac:dyDescent="0.2">
      <c r="A12" s="8">
        <f t="shared" si="0"/>
        <v>8</v>
      </c>
      <c r="B12" s="11" t="s">
        <v>17</v>
      </c>
      <c r="C12" s="5" t="s">
        <v>23</v>
      </c>
      <c r="D12" s="6" t="s">
        <v>24</v>
      </c>
      <c r="E12" s="12" t="s">
        <v>20</v>
      </c>
    </row>
    <row r="13" spans="1:5" ht="30" customHeight="1" x14ac:dyDescent="0.2">
      <c r="A13" s="8">
        <f t="shared" si="0"/>
        <v>9</v>
      </c>
      <c r="B13" s="11" t="s">
        <v>17</v>
      </c>
      <c r="C13" s="9" t="s">
        <v>25</v>
      </c>
      <c r="D13" s="10" t="s">
        <v>26</v>
      </c>
      <c r="E13" s="12" t="s">
        <v>20</v>
      </c>
    </row>
    <row r="14" spans="1:5" ht="30" customHeight="1" x14ac:dyDescent="0.2">
      <c r="A14" s="8">
        <f t="shared" si="0"/>
        <v>10</v>
      </c>
      <c r="B14" s="11" t="s">
        <v>17</v>
      </c>
      <c r="C14" s="5" t="s">
        <v>27</v>
      </c>
      <c r="D14" s="6" t="s">
        <v>28</v>
      </c>
      <c r="E14" s="12" t="s">
        <v>20</v>
      </c>
    </row>
    <row r="15" spans="1:5" ht="30" customHeight="1" x14ac:dyDescent="0.2">
      <c r="A15" s="8">
        <f t="shared" si="0"/>
        <v>11</v>
      </c>
      <c r="B15" s="13" t="s">
        <v>29</v>
      </c>
      <c r="C15" s="9" t="s">
        <v>30</v>
      </c>
      <c r="D15" s="10" t="s">
        <v>31</v>
      </c>
      <c r="E15" s="12" t="s">
        <v>20</v>
      </c>
    </row>
    <row r="16" spans="1:5" ht="30" customHeight="1" x14ac:dyDescent="0.2">
      <c r="A16" s="8">
        <f t="shared" si="0"/>
        <v>12</v>
      </c>
      <c r="B16" s="13" t="s">
        <v>29</v>
      </c>
      <c r="C16" s="5" t="s">
        <v>32</v>
      </c>
      <c r="D16" s="6" t="s">
        <v>33</v>
      </c>
      <c r="E16" s="12" t="s">
        <v>20</v>
      </c>
    </row>
    <row r="17" spans="1:5" ht="30" customHeight="1" x14ac:dyDescent="0.2">
      <c r="A17" s="8">
        <f t="shared" si="0"/>
        <v>13</v>
      </c>
      <c r="B17" s="13" t="s">
        <v>29</v>
      </c>
      <c r="C17" s="9" t="s">
        <v>34</v>
      </c>
      <c r="D17" s="10" t="s">
        <v>35</v>
      </c>
      <c r="E17" s="12" t="s">
        <v>20</v>
      </c>
    </row>
    <row r="18" spans="1:5" ht="30" customHeight="1" x14ac:dyDescent="0.2">
      <c r="A18" s="8">
        <f t="shared" si="0"/>
        <v>14</v>
      </c>
      <c r="B18" s="13" t="s">
        <v>29</v>
      </c>
      <c r="C18" s="5" t="s">
        <v>36</v>
      </c>
      <c r="D18" s="6" t="s">
        <v>37</v>
      </c>
      <c r="E18" s="12" t="s">
        <v>20</v>
      </c>
    </row>
    <row r="19" spans="1:5" ht="30" customHeight="1" x14ac:dyDescent="0.2">
      <c r="A19" s="8">
        <f t="shared" si="0"/>
        <v>15</v>
      </c>
      <c r="B19" s="13" t="s">
        <v>29</v>
      </c>
      <c r="C19" s="9" t="s">
        <v>38</v>
      </c>
      <c r="D19" s="10" t="s">
        <v>39</v>
      </c>
      <c r="E19" s="12" t="s">
        <v>20</v>
      </c>
    </row>
    <row r="20" spans="1:5" ht="30" customHeight="1" x14ac:dyDescent="0.2">
      <c r="A20" s="8">
        <f t="shared" si="0"/>
        <v>16</v>
      </c>
      <c r="B20" s="14" t="s">
        <v>40</v>
      </c>
      <c r="C20" s="5" t="s">
        <v>41</v>
      </c>
      <c r="D20" s="6" t="s">
        <v>42</v>
      </c>
      <c r="E20" s="7" t="s">
        <v>10</v>
      </c>
    </row>
    <row r="21" spans="1:5" ht="30" customHeight="1" x14ac:dyDescent="0.2">
      <c r="A21" s="8">
        <f t="shared" si="0"/>
        <v>17</v>
      </c>
      <c r="B21" s="14" t="s">
        <v>40</v>
      </c>
      <c r="C21" s="9" t="s">
        <v>43</v>
      </c>
      <c r="D21" s="10" t="s">
        <v>44</v>
      </c>
      <c r="E21" s="12" t="s">
        <v>20</v>
      </c>
    </row>
    <row r="22" spans="1:5" ht="30" customHeight="1" x14ac:dyDescent="0.2">
      <c r="A22" s="8">
        <f t="shared" si="0"/>
        <v>18</v>
      </c>
      <c r="B22" s="14" t="s">
        <v>40</v>
      </c>
      <c r="C22" s="5" t="s">
        <v>45</v>
      </c>
      <c r="D22" s="6" t="s">
        <v>46</v>
      </c>
      <c r="E22" s="7" t="s">
        <v>10</v>
      </c>
    </row>
    <row r="23" spans="1:5" ht="30" customHeight="1" x14ac:dyDescent="0.2">
      <c r="A23" s="8">
        <f t="shared" si="0"/>
        <v>19</v>
      </c>
      <c r="B23" s="14" t="s">
        <v>40</v>
      </c>
      <c r="C23" s="9" t="s">
        <v>47</v>
      </c>
      <c r="D23" s="10" t="s">
        <v>48</v>
      </c>
      <c r="E23" s="7" t="s">
        <v>10</v>
      </c>
    </row>
    <row r="24" spans="1:5" ht="30" customHeight="1" x14ac:dyDescent="0.2">
      <c r="A24" s="8">
        <f t="shared" si="0"/>
        <v>20</v>
      </c>
      <c r="B24" s="15" t="s">
        <v>49</v>
      </c>
      <c r="C24" s="5" t="s">
        <v>50</v>
      </c>
      <c r="D24" s="6" t="s">
        <v>51</v>
      </c>
      <c r="E24" s="7" t="s">
        <v>10</v>
      </c>
    </row>
    <row r="25" spans="1:5" ht="30" customHeight="1" x14ac:dyDescent="0.2">
      <c r="A25" s="8">
        <f t="shared" si="0"/>
        <v>21</v>
      </c>
      <c r="B25" s="15" t="s">
        <v>49</v>
      </c>
      <c r="C25" s="9" t="s">
        <v>52</v>
      </c>
      <c r="D25" s="10" t="s">
        <v>53</v>
      </c>
      <c r="E25" s="7" t="s">
        <v>10</v>
      </c>
    </row>
    <row r="26" spans="1:5" ht="30" customHeight="1" x14ac:dyDescent="0.2">
      <c r="A26" s="8">
        <f t="shared" si="0"/>
        <v>22</v>
      </c>
      <c r="B26" s="15" t="s">
        <v>49</v>
      </c>
      <c r="C26" s="5" t="s">
        <v>54</v>
      </c>
      <c r="D26" s="6" t="s">
        <v>55</v>
      </c>
      <c r="E26" s="7" t="s">
        <v>10</v>
      </c>
    </row>
    <row r="27" spans="1:5" ht="30" customHeight="1" x14ac:dyDescent="0.2">
      <c r="A27" s="8">
        <f t="shared" si="0"/>
        <v>23</v>
      </c>
      <c r="B27" s="15" t="s">
        <v>49</v>
      </c>
      <c r="C27" s="9" t="s">
        <v>56</v>
      </c>
      <c r="D27" s="10" t="s">
        <v>57</v>
      </c>
      <c r="E27" s="7" t="s">
        <v>10</v>
      </c>
    </row>
    <row r="28" spans="1:5" ht="30" customHeight="1" x14ac:dyDescent="0.2">
      <c r="A28" s="8">
        <f t="shared" si="0"/>
        <v>24</v>
      </c>
      <c r="B28" s="15" t="s">
        <v>49</v>
      </c>
      <c r="C28" s="5" t="s">
        <v>58</v>
      </c>
      <c r="D28" s="6" t="s">
        <v>59</v>
      </c>
      <c r="E28" s="7" t="s">
        <v>10</v>
      </c>
    </row>
    <row r="29" spans="1:5" ht="30" customHeight="1" x14ac:dyDescent="0.2">
      <c r="A29" s="8">
        <f t="shared" si="0"/>
        <v>25</v>
      </c>
      <c r="B29" s="16" t="s">
        <v>60</v>
      </c>
      <c r="C29" s="9" t="s">
        <v>61</v>
      </c>
      <c r="D29" s="10" t="s">
        <v>62</v>
      </c>
      <c r="E29" s="17" t="s">
        <v>63</v>
      </c>
    </row>
    <row r="30" spans="1:5" ht="30" customHeight="1" x14ac:dyDescent="0.2">
      <c r="A30" s="8">
        <f t="shared" si="0"/>
        <v>26</v>
      </c>
      <c r="B30" s="16" t="s">
        <v>60</v>
      </c>
      <c r="C30" s="5" t="s">
        <v>64</v>
      </c>
      <c r="D30" s="6" t="s">
        <v>65</v>
      </c>
      <c r="E30" s="17" t="s">
        <v>63</v>
      </c>
    </row>
    <row r="31" spans="1:5" ht="30" customHeight="1" x14ac:dyDescent="0.2">
      <c r="A31" s="8">
        <f t="shared" si="0"/>
        <v>27</v>
      </c>
      <c r="B31" s="16" t="s">
        <v>60</v>
      </c>
      <c r="C31" s="9" t="s">
        <v>66</v>
      </c>
      <c r="D31" s="10" t="s">
        <v>67</v>
      </c>
      <c r="E31" s="17" t="s">
        <v>63</v>
      </c>
    </row>
    <row r="32" spans="1:5" ht="30" customHeight="1" x14ac:dyDescent="0.2">
      <c r="A32" s="8">
        <f t="shared" si="0"/>
        <v>28</v>
      </c>
      <c r="B32" s="16" t="s">
        <v>60</v>
      </c>
      <c r="C32" s="5" t="s">
        <v>68</v>
      </c>
      <c r="D32" s="6" t="s">
        <v>69</v>
      </c>
      <c r="E32" s="17" t="s">
        <v>63</v>
      </c>
    </row>
    <row r="33" spans="1:5" ht="30" customHeight="1" x14ac:dyDescent="0.2">
      <c r="A33" s="8">
        <f t="shared" si="0"/>
        <v>29</v>
      </c>
      <c r="B33" s="16" t="s">
        <v>60</v>
      </c>
      <c r="C33" s="9" t="s">
        <v>70</v>
      </c>
      <c r="D33" s="10" t="s">
        <v>71</v>
      </c>
      <c r="E33" s="17" t="s">
        <v>63</v>
      </c>
    </row>
    <row r="34" spans="1:5" ht="30" customHeight="1" x14ac:dyDescent="0.2">
      <c r="A34" s="8">
        <f t="shared" si="0"/>
        <v>30</v>
      </c>
      <c r="B34" s="16" t="s">
        <v>60</v>
      </c>
      <c r="C34" s="5" t="s">
        <v>72</v>
      </c>
      <c r="D34" s="6" t="s">
        <v>73</v>
      </c>
      <c r="E34" s="17" t="s">
        <v>63</v>
      </c>
    </row>
    <row r="35" spans="1:5" ht="30" customHeight="1" x14ac:dyDescent="0.2">
      <c r="A35" s="8">
        <f t="shared" si="0"/>
        <v>31</v>
      </c>
      <c r="B35" s="18" t="s">
        <v>74</v>
      </c>
      <c r="C35" s="9" t="s">
        <v>75</v>
      </c>
      <c r="D35" s="10" t="s">
        <v>76</v>
      </c>
      <c r="E35" s="19" t="s">
        <v>77</v>
      </c>
    </row>
    <row r="36" spans="1:5" ht="30" customHeight="1" x14ac:dyDescent="0.2">
      <c r="A36" s="8">
        <f t="shared" si="0"/>
        <v>32</v>
      </c>
      <c r="B36" s="18" t="s">
        <v>74</v>
      </c>
      <c r="C36" s="5" t="s">
        <v>78</v>
      </c>
      <c r="D36" s="6" t="s">
        <v>79</v>
      </c>
      <c r="E36" s="19" t="s">
        <v>77</v>
      </c>
    </row>
    <row r="37" spans="1:5" ht="30" customHeight="1" x14ac:dyDescent="0.2">
      <c r="A37" s="8">
        <f t="shared" si="0"/>
        <v>33</v>
      </c>
      <c r="B37" s="18" t="s">
        <v>74</v>
      </c>
      <c r="C37" s="9" t="s">
        <v>80</v>
      </c>
      <c r="D37" s="10" t="s">
        <v>81</v>
      </c>
      <c r="E37" s="19" t="s">
        <v>77</v>
      </c>
    </row>
    <row r="38" spans="1:5" ht="30" customHeight="1" x14ac:dyDescent="0.2">
      <c r="A38" s="8">
        <f t="shared" si="0"/>
        <v>34</v>
      </c>
      <c r="B38" s="18" t="s">
        <v>74</v>
      </c>
      <c r="C38" s="5" t="s">
        <v>82</v>
      </c>
      <c r="D38" s="6" t="s">
        <v>83</v>
      </c>
      <c r="E38" s="19" t="s">
        <v>77</v>
      </c>
    </row>
    <row r="39" spans="1:5" ht="30" customHeight="1" x14ac:dyDescent="0.2">
      <c r="A39" s="8">
        <f t="shared" si="0"/>
        <v>35</v>
      </c>
      <c r="B39" s="18" t="s">
        <v>74</v>
      </c>
      <c r="C39" s="9" t="s">
        <v>84</v>
      </c>
      <c r="D39" s="10" t="s">
        <v>85</v>
      </c>
      <c r="E39" s="19" t="s">
        <v>77</v>
      </c>
    </row>
    <row r="40" spans="1:5" ht="30" customHeight="1" x14ac:dyDescent="0.2">
      <c r="A40" s="8">
        <f t="shared" si="0"/>
        <v>36</v>
      </c>
      <c r="B40" s="20" t="s">
        <v>86</v>
      </c>
      <c r="C40" s="5" t="s">
        <v>87</v>
      </c>
      <c r="D40" s="6" t="s">
        <v>88</v>
      </c>
      <c r="E40" s="17" t="s">
        <v>63</v>
      </c>
    </row>
    <row r="41" spans="1:5" ht="30" customHeight="1" x14ac:dyDescent="0.2">
      <c r="A41" s="8">
        <f t="shared" si="0"/>
        <v>37</v>
      </c>
      <c r="B41" s="20" t="s">
        <v>86</v>
      </c>
      <c r="C41" s="9" t="s">
        <v>89</v>
      </c>
      <c r="D41" s="10" t="s">
        <v>90</v>
      </c>
      <c r="E41" s="17" t="s">
        <v>63</v>
      </c>
    </row>
    <row r="42" spans="1:5" ht="30" customHeight="1" x14ac:dyDescent="0.2">
      <c r="A42" s="8">
        <f t="shared" si="0"/>
        <v>38</v>
      </c>
      <c r="B42" s="20" t="s">
        <v>86</v>
      </c>
      <c r="C42" s="5" t="s">
        <v>91</v>
      </c>
      <c r="D42" s="6" t="s">
        <v>92</v>
      </c>
      <c r="E42" s="17" t="s">
        <v>63</v>
      </c>
    </row>
    <row r="43" spans="1:5" ht="30" customHeight="1" x14ac:dyDescent="0.2">
      <c r="A43" s="8">
        <f t="shared" si="0"/>
        <v>39</v>
      </c>
      <c r="B43" s="20" t="s">
        <v>86</v>
      </c>
      <c r="C43" s="9" t="s">
        <v>93</v>
      </c>
      <c r="D43" s="10" t="s">
        <v>94</v>
      </c>
      <c r="E43" s="17" t="s">
        <v>63</v>
      </c>
    </row>
    <row r="44" spans="1:5" ht="30" customHeight="1" x14ac:dyDescent="0.2">
      <c r="A44" s="8">
        <f t="shared" si="0"/>
        <v>40</v>
      </c>
      <c r="B44" s="21" t="s">
        <v>95</v>
      </c>
      <c r="C44" s="5" t="s">
        <v>96</v>
      </c>
      <c r="D44" s="6" t="s">
        <v>97</v>
      </c>
      <c r="E44" s="19" t="s">
        <v>77</v>
      </c>
    </row>
    <row r="45" spans="1:5" ht="30" customHeight="1" x14ac:dyDescent="0.2">
      <c r="A45" s="8">
        <f t="shared" si="0"/>
        <v>41</v>
      </c>
      <c r="B45" s="21" t="s">
        <v>95</v>
      </c>
      <c r="C45" s="9" t="s">
        <v>98</v>
      </c>
      <c r="D45" s="10" t="s">
        <v>99</v>
      </c>
      <c r="E45" s="19" t="s">
        <v>77</v>
      </c>
    </row>
    <row r="46" spans="1:5" ht="30" customHeight="1" x14ac:dyDescent="0.2">
      <c r="A46" s="8">
        <f t="shared" si="0"/>
        <v>42</v>
      </c>
      <c r="B46" s="21" t="s">
        <v>95</v>
      </c>
      <c r="C46" s="5" t="s">
        <v>100</v>
      </c>
      <c r="D46" s="6" t="s">
        <v>101</v>
      </c>
      <c r="E46" s="7" t="s">
        <v>10</v>
      </c>
    </row>
    <row r="47" spans="1:5" ht="30" customHeight="1" x14ac:dyDescent="0.2">
      <c r="A47" s="8">
        <f t="shared" si="0"/>
        <v>43</v>
      </c>
      <c r="B47" s="21" t="s">
        <v>95</v>
      </c>
      <c r="C47" s="9" t="s">
        <v>102</v>
      </c>
      <c r="D47" s="10" t="s">
        <v>103</v>
      </c>
      <c r="E47" s="17" t="s">
        <v>63</v>
      </c>
    </row>
    <row r="48" spans="1:5" ht="30" customHeight="1" x14ac:dyDescent="0.2">
      <c r="A48" s="8">
        <f t="shared" si="0"/>
        <v>44</v>
      </c>
      <c r="B48" s="21" t="s">
        <v>95</v>
      </c>
      <c r="C48" s="5" t="s">
        <v>104</v>
      </c>
      <c r="D48" s="6" t="s">
        <v>105</v>
      </c>
      <c r="E48" s="17" t="s">
        <v>63</v>
      </c>
    </row>
    <row r="49" spans="1:5" ht="30" customHeight="1" x14ac:dyDescent="0.2">
      <c r="A49" s="8">
        <f t="shared" si="0"/>
        <v>45</v>
      </c>
      <c r="B49" s="22" t="s">
        <v>106</v>
      </c>
      <c r="C49" s="9" t="s">
        <v>107</v>
      </c>
      <c r="D49" s="10" t="s">
        <v>108</v>
      </c>
      <c r="E49" s="7" t="s">
        <v>10</v>
      </c>
    </row>
    <row r="50" spans="1:5" ht="30" customHeight="1" x14ac:dyDescent="0.2">
      <c r="A50" s="8">
        <f t="shared" si="0"/>
        <v>46</v>
      </c>
      <c r="B50" s="22" t="s">
        <v>106</v>
      </c>
      <c r="C50" s="5" t="s">
        <v>109</v>
      </c>
      <c r="D50" s="6" t="s">
        <v>110</v>
      </c>
      <c r="E50" s="7" t="s">
        <v>10</v>
      </c>
    </row>
    <row r="51" spans="1:5" ht="30" customHeight="1" x14ac:dyDescent="0.2">
      <c r="A51" s="8">
        <f t="shared" si="0"/>
        <v>47</v>
      </c>
      <c r="B51" s="22" t="s">
        <v>106</v>
      </c>
      <c r="C51" s="9" t="s">
        <v>111</v>
      </c>
      <c r="D51" s="10" t="s">
        <v>112</v>
      </c>
      <c r="E51" s="7" t="s">
        <v>10</v>
      </c>
    </row>
    <row r="52" spans="1:5" ht="30" customHeight="1" x14ac:dyDescent="0.2">
      <c r="A52" s="8">
        <f t="shared" si="0"/>
        <v>48</v>
      </c>
      <c r="B52" s="23" t="s">
        <v>113</v>
      </c>
      <c r="C52" s="5" t="s">
        <v>114</v>
      </c>
      <c r="D52" s="6" t="s">
        <v>115</v>
      </c>
      <c r="E52" s="24" t="s">
        <v>116</v>
      </c>
    </row>
    <row r="53" spans="1:5" ht="30" customHeight="1" x14ac:dyDescent="0.2">
      <c r="A53" s="8">
        <f t="shared" si="0"/>
        <v>49</v>
      </c>
      <c r="B53" s="23" t="s">
        <v>113</v>
      </c>
      <c r="C53" s="9" t="s">
        <v>117</v>
      </c>
      <c r="D53" s="10" t="s">
        <v>118</v>
      </c>
      <c r="E53" s="24" t="s">
        <v>116</v>
      </c>
    </row>
    <row r="54" spans="1:5" ht="30" customHeight="1" x14ac:dyDescent="0.2">
      <c r="A54" s="8">
        <f t="shared" si="0"/>
        <v>50</v>
      </c>
      <c r="B54" s="23" t="s">
        <v>113</v>
      </c>
      <c r="C54" s="5" t="s">
        <v>119</v>
      </c>
      <c r="D54" s="6" t="s">
        <v>120</v>
      </c>
      <c r="E54" s="24" t="s">
        <v>116</v>
      </c>
    </row>
    <row r="55" spans="1:5" ht="30" customHeight="1" x14ac:dyDescent="0.2">
      <c r="A55" s="8">
        <f t="shared" si="0"/>
        <v>51</v>
      </c>
      <c r="B55" s="23" t="s">
        <v>113</v>
      </c>
      <c r="C55" s="9" t="s">
        <v>121</v>
      </c>
      <c r="D55" s="10" t="s">
        <v>122</v>
      </c>
      <c r="E55" s="24" t="s">
        <v>116</v>
      </c>
    </row>
    <row r="56" spans="1:5" ht="30" customHeight="1" x14ac:dyDescent="0.2">
      <c r="A56" s="8">
        <f t="shared" si="0"/>
        <v>52</v>
      </c>
      <c r="B56" s="23" t="s">
        <v>113</v>
      </c>
      <c r="C56" s="5" t="s">
        <v>123</v>
      </c>
      <c r="D56" s="6" t="s">
        <v>124</v>
      </c>
      <c r="E56" s="24" t="s">
        <v>116</v>
      </c>
    </row>
    <row r="57" spans="1:5" ht="30" customHeight="1" x14ac:dyDescent="0.2">
      <c r="A57" s="8">
        <f t="shared" si="0"/>
        <v>53</v>
      </c>
      <c r="B57" s="23" t="s">
        <v>113</v>
      </c>
      <c r="C57" s="9" t="s">
        <v>125</v>
      </c>
      <c r="D57" s="10" t="s">
        <v>126</v>
      </c>
      <c r="E57" s="24" t="s">
        <v>116</v>
      </c>
    </row>
    <row r="58" spans="1:5" ht="30" customHeight="1" x14ac:dyDescent="0.2">
      <c r="A58" s="8">
        <f t="shared" si="0"/>
        <v>54</v>
      </c>
      <c r="B58" s="25" t="s">
        <v>127</v>
      </c>
      <c r="C58" s="5" t="s">
        <v>128</v>
      </c>
      <c r="D58" s="6" t="s">
        <v>129</v>
      </c>
      <c r="E58" s="12" t="s">
        <v>20</v>
      </c>
    </row>
    <row r="59" spans="1:5" ht="30" customHeight="1" x14ac:dyDescent="0.2">
      <c r="A59" s="8">
        <f t="shared" si="0"/>
        <v>55</v>
      </c>
      <c r="B59" s="25" t="s">
        <v>127</v>
      </c>
      <c r="C59" s="9" t="s">
        <v>130</v>
      </c>
      <c r="D59" s="10" t="s">
        <v>131</v>
      </c>
      <c r="E59" s="7" t="s">
        <v>10</v>
      </c>
    </row>
    <row r="60" spans="1:5" ht="30" customHeight="1" x14ac:dyDescent="0.2">
      <c r="A60" s="8">
        <f t="shared" si="0"/>
        <v>56</v>
      </c>
      <c r="B60" s="25" t="s">
        <v>127</v>
      </c>
      <c r="C60" s="5" t="s">
        <v>132</v>
      </c>
      <c r="D60" s="6" t="s">
        <v>133</v>
      </c>
      <c r="E60" s="19" t="s">
        <v>77</v>
      </c>
    </row>
    <row r="61" spans="1:5" ht="30" customHeight="1" x14ac:dyDescent="0.2">
      <c r="A61" s="8">
        <f t="shared" si="0"/>
        <v>57</v>
      </c>
      <c r="B61" s="25" t="s">
        <v>127</v>
      </c>
      <c r="C61" s="9" t="s">
        <v>134</v>
      </c>
      <c r="D61" s="10" t="s">
        <v>135</v>
      </c>
      <c r="E61" s="7" t="s">
        <v>10</v>
      </c>
    </row>
    <row r="62" spans="1:5" ht="30" customHeight="1" x14ac:dyDescent="0.2">
      <c r="A62" s="8">
        <f t="shared" si="0"/>
        <v>58</v>
      </c>
      <c r="B62" s="26" t="s">
        <v>136</v>
      </c>
      <c r="C62" s="5" t="s">
        <v>137</v>
      </c>
      <c r="D62" s="6" t="s">
        <v>138</v>
      </c>
      <c r="E62" s="19" t="s">
        <v>77</v>
      </c>
    </row>
    <row r="63" spans="1:5" ht="30" customHeight="1" x14ac:dyDescent="0.2">
      <c r="A63" s="8">
        <f t="shared" si="0"/>
        <v>59</v>
      </c>
      <c r="B63" s="26" t="s">
        <v>136</v>
      </c>
      <c r="C63" s="9" t="s">
        <v>139</v>
      </c>
      <c r="D63" s="10" t="s">
        <v>140</v>
      </c>
      <c r="E63" s="7" t="s">
        <v>10</v>
      </c>
    </row>
    <row r="64" spans="1:5" ht="30" customHeight="1" x14ac:dyDescent="0.2">
      <c r="A64" s="8">
        <f t="shared" si="0"/>
        <v>60</v>
      </c>
      <c r="B64" s="26" t="s">
        <v>136</v>
      </c>
      <c r="C64" s="5" t="s">
        <v>141</v>
      </c>
      <c r="D64" s="6" t="s">
        <v>142</v>
      </c>
      <c r="E64" s="7" t="s">
        <v>10</v>
      </c>
    </row>
    <row r="65" spans="1:5" ht="30" customHeight="1" x14ac:dyDescent="0.2">
      <c r="A65" s="8">
        <f t="shared" si="0"/>
        <v>61</v>
      </c>
      <c r="B65" s="27" t="s">
        <v>143</v>
      </c>
      <c r="C65" s="9" t="s">
        <v>144</v>
      </c>
      <c r="D65" s="10" t="s">
        <v>145</v>
      </c>
      <c r="E65" s="7" t="s">
        <v>10</v>
      </c>
    </row>
    <row r="66" spans="1:5" ht="30" customHeight="1" x14ac:dyDescent="0.2">
      <c r="A66" s="8">
        <f t="shared" si="0"/>
        <v>62</v>
      </c>
      <c r="B66" s="27" t="s">
        <v>143</v>
      </c>
      <c r="C66" s="5" t="s">
        <v>146</v>
      </c>
      <c r="D66" s="6" t="s">
        <v>147</v>
      </c>
      <c r="E66" s="7" t="s">
        <v>10</v>
      </c>
    </row>
    <row r="67" spans="1:5" ht="30" customHeight="1" x14ac:dyDescent="0.2">
      <c r="A67" s="8">
        <f t="shared" si="0"/>
        <v>63</v>
      </c>
      <c r="B67" s="27" t="s">
        <v>143</v>
      </c>
      <c r="C67" s="9" t="s">
        <v>148</v>
      </c>
      <c r="D67" s="10" t="s">
        <v>149</v>
      </c>
      <c r="E67" s="7" t="s">
        <v>10</v>
      </c>
    </row>
    <row r="68" spans="1:5" ht="30" customHeight="1" x14ac:dyDescent="0.2">
      <c r="A68" s="8">
        <f t="shared" si="0"/>
        <v>64</v>
      </c>
      <c r="B68" s="27" t="s">
        <v>143</v>
      </c>
      <c r="C68" s="5" t="s">
        <v>150</v>
      </c>
      <c r="D68" s="6" t="s">
        <v>151</v>
      </c>
      <c r="E68" s="7" t="s">
        <v>10</v>
      </c>
    </row>
    <row r="69" spans="1:5" ht="15.75" customHeight="1" x14ac:dyDescent="0.2"/>
    <row r="70" spans="1:5" ht="15.75" customHeight="1" x14ac:dyDescent="0.2"/>
    <row r="71" spans="1:5" ht="15.75" customHeight="1" x14ac:dyDescent="0.2"/>
    <row r="72" spans="1:5" ht="15.75" customHeight="1" x14ac:dyDescent="0.2"/>
    <row r="73" spans="1:5" ht="15.75" customHeight="1" x14ac:dyDescent="0.2"/>
    <row r="74" spans="1:5" ht="15.75" customHeight="1" x14ac:dyDescent="0.2"/>
    <row r="75" spans="1:5" ht="15.75" customHeight="1" x14ac:dyDescent="0.2"/>
    <row r="76" spans="1:5" ht="15.75" customHeight="1" x14ac:dyDescent="0.2"/>
    <row r="77" spans="1:5" ht="15.75" customHeight="1" x14ac:dyDescent="0.2"/>
    <row r="78" spans="1:5" ht="15.75" customHeight="1" x14ac:dyDescent="0.2"/>
    <row r="79" spans="1:5" ht="15.75" customHeight="1" x14ac:dyDescent="0.2"/>
    <row r="80" spans="1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autoFilter ref="A4:E68" xr:uid="{00000000-0009-0000-0000-000000000000}"/>
  <mergeCells count="2">
    <mergeCell ref="A1:E1"/>
    <mergeCell ref="A2:E2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00"/>
  <sheetViews>
    <sheetView workbookViewId="0"/>
  </sheetViews>
  <sheetFormatPr baseColWidth="10" defaultColWidth="14.5" defaultRowHeight="15" customHeight="1" x14ac:dyDescent="0.2"/>
  <cols>
    <col min="1" max="1" width="32" customWidth="1"/>
    <col min="2" max="2" width="16" customWidth="1"/>
    <col min="3" max="3" width="30" customWidth="1"/>
    <col min="4" max="26" width="8.6640625" customWidth="1"/>
  </cols>
  <sheetData>
    <row r="1" spans="1:3" x14ac:dyDescent="0.2">
      <c r="A1" s="1" t="s">
        <v>3</v>
      </c>
      <c r="B1" s="1" t="s">
        <v>152</v>
      </c>
      <c r="C1" s="1" t="s">
        <v>153</v>
      </c>
    </row>
    <row r="2" spans="1:3" ht="19.5" customHeight="1" x14ac:dyDescent="0.2">
      <c r="A2" s="4" t="s">
        <v>7</v>
      </c>
      <c r="B2" s="28">
        <v>4</v>
      </c>
      <c r="C2" s="29" t="s">
        <v>154</v>
      </c>
    </row>
    <row r="3" spans="1:3" ht="19.5" customHeight="1" x14ac:dyDescent="0.2">
      <c r="A3" s="11" t="s">
        <v>17</v>
      </c>
      <c r="B3" s="30">
        <v>5</v>
      </c>
      <c r="C3" s="31" t="s">
        <v>155</v>
      </c>
    </row>
    <row r="4" spans="1:3" ht="19.5" customHeight="1" x14ac:dyDescent="0.2">
      <c r="A4" s="13" t="s">
        <v>29</v>
      </c>
      <c r="B4" s="32">
        <v>5</v>
      </c>
      <c r="C4" s="33" t="s">
        <v>155</v>
      </c>
    </row>
    <row r="5" spans="1:3" ht="19.5" customHeight="1" x14ac:dyDescent="0.2">
      <c r="A5" s="14" t="s">
        <v>40</v>
      </c>
      <c r="B5" s="34">
        <v>4</v>
      </c>
      <c r="C5" s="35" t="s">
        <v>156</v>
      </c>
    </row>
    <row r="6" spans="1:3" ht="19.5" customHeight="1" x14ac:dyDescent="0.2">
      <c r="A6" s="15" t="s">
        <v>49</v>
      </c>
      <c r="B6" s="36">
        <v>5</v>
      </c>
      <c r="C6" s="37" t="s">
        <v>157</v>
      </c>
    </row>
    <row r="7" spans="1:3" ht="19.5" customHeight="1" x14ac:dyDescent="0.2">
      <c r="A7" s="16" t="s">
        <v>60</v>
      </c>
      <c r="B7" s="38">
        <v>6</v>
      </c>
      <c r="C7" s="39" t="s">
        <v>158</v>
      </c>
    </row>
    <row r="8" spans="1:3" ht="19.5" customHeight="1" x14ac:dyDescent="0.2">
      <c r="A8" s="18" t="s">
        <v>74</v>
      </c>
      <c r="B8" s="40">
        <v>5</v>
      </c>
      <c r="C8" s="41" t="s">
        <v>159</v>
      </c>
    </row>
    <row r="9" spans="1:3" ht="19.5" customHeight="1" x14ac:dyDescent="0.2">
      <c r="A9" s="20" t="s">
        <v>86</v>
      </c>
      <c r="B9" s="42">
        <v>4</v>
      </c>
      <c r="C9" s="43" t="s">
        <v>160</v>
      </c>
    </row>
    <row r="10" spans="1:3" ht="19.5" customHeight="1" x14ac:dyDescent="0.2">
      <c r="A10" s="21" t="s">
        <v>95</v>
      </c>
      <c r="B10" s="44">
        <v>5</v>
      </c>
      <c r="C10" s="45" t="s">
        <v>161</v>
      </c>
    </row>
    <row r="11" spans="1:3" ht="19.5" customHeight="1" x14ac:dyDescent="0.2">
      <c r="A11" s="22" t="s">
        <v>106</v>
      </c>
      <c r="B11" s="46">
        <v>3</v>
      </c>
      <c r="C11" s="47" t="s">
        <v>162</v>
      </c>
    </row>
    <row r="12" spans="1:3" ht="19.5" customHeight="1" x14ac:dyDescent="0.2">
      <c r="A12" s="23" t="s">
        <v>113</v>
      </c>
      <c r="B12" s="48">
        <v>6</v>
      </c>
      <c r="C12" s="49" t="s">
        <v>163</v>
      </c>
    </row>
    <row r="13" spans="1:3" ht="19.5" customHeight="1" x14ac:dyDescent="0.2">
      <c r="A13" s="25" t="s">
        <v>127</v>
      </c>
      <c r="B13" s="50">
        <v>4</v>
      </c>
      <c r="C13" s="51" t="s">
        <v>164</v>
      </c>
    </row>
    <row r="14" spans="1:3" ht="19.5" customHeight="1" x14ac:dyDescent="0.2">
      <c r="A14" s="26" t="s">
        <v>136</v>
      </c>
      <c r="B14" s="52">
        <v>3</v>
      </c>
      <c r="C14" s="53" t="s">
        <v>165</v>
      </c>
    </row>
    <row r="15" spans="1:3" ht="19.5" customHeight="1" x14ac:dyDescent="0.2">
      <c r="A15" s="27" t="s">
        <v>143</v>
      </c>
      <c r="B15" s="54">
        <v>4</v>
      </c>
      <c r="C15" s="55" t="s">
        <v>154</v>
      </c>
    </row>
    <row r="16" spans="1:3" x14ac:dyDescent="0.2">
      <c r="A16" s="56" t="s">
        <v>166</v>
      </c>
      <c r="B16" s="1">
        <f>SUM(B2:B15)</f>
        <v>63</v>
      </c>
      <c r="C16" s="57" t="s">
        <v>167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DMS Features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Basant Sharma</cp:lastModifiedBy>
  <dcterms:created xsi:type="dcterms:W3CDTF">2026-05-09T10:56:09Z</dcterms:created>
  <dcterms:modified xsi:type="dcterms:W3CDTF">2026-05-09T10:58:16Z</dcterms:modified>
</cp:coreProperties>
</file>